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hmedelsheshtawy\Desktop\Personal\training\"/>
    </mc:Choice>
  </mc:AlternateContent>
  <xr:revisionPtr revIDLastSave="0" documentId="13_ncr:1_{1BD8CACE-0206-40E3-B025-5386D0B9A7DD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Cover" sheetId="1" r:id="rId1"/>
    <sheet name="model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9" i="1" l="1"/>
  <c r="E10" i="2" l="1"/>
  <c r="L9" i="2" l="1"/>
  <c r="J25" i="2"/>
  <c r="K10" i="2"/>
  <c r="J18" i="2"/>
  <c r="K9" i="2"/>
  <c r="J28" i="2"/>
  <c r="J10" i="2"/>
  <c r="J9" i="2"/>
  <c r="R16" i="2" l="1"/>
  <c r="S16" i="2" s="1"/>
  <c r="T16" i="2" s="1"/>
  <c r="R15" i="2"/>
  <c r="R10" i="2"/>
  <c r="S10" i="2" s="1"/>
  <c r="T10" i="2" s="1"/>
  <c r="R17" i="2"/>
  <c r="S17" i="2" s="1"/>
  <c r="Q12" i="2"/>
  <c r="Q24" i="2"/>
  <c r="Q19" i="2"/>
  <c r="R11" i="2"/>
  <c r="S11" i="2" s="1"/>
  <c r="E15" i="2"/>
  <c r="D10" i="2"/>
  <c r="D15" i="2" s="1"/>
  <c r="Q5" i="2"/>
  <c r="R5" i="2"/>
  <c r="C26" i="2"/>
  <c r="S15" i="2" l="1"/>
  <c r="T15" i="2" s="1"/>
  <c r="Q26" i="2"/>
  <c r="D18" i="2"/>
  <c r="D21" i="2" s="1"/>
  <c r="E18" i="2"/>
  <c r="E21" i="2" s="1"/>
  <c r="C10" i="2"/>
  <c r="C15" i="2" s="1"/>
  <c r="E26" i="2"/>
  <c r="D26" i="2"/>
  <c r="L25" i="2"/>
  <c r="K25" i="2"/>
  <c r="R22" i="2"/>
  <c r="T17" i="2"/>
  <c r="L18" i="2"/>
  <c r="K18" i="2"/>
  <c r="L10" i="2"/>
  <c r="R18" i="2"/>
  <c r="R9" i="2"/>
  <c r="T11" i="2"/>
  <c r="J5" i="2"/>
  <c r="D5" i="2"/>
  <c r="C12" i="1"/>
  <c r="E28" i="2" l="1"/>
  <c r="L8" i="2" s="1"/>
  <c r="L14" i="2" s="1"/>
  <c r="L29" i="2" s="1"/>
  <c r="S22" i="2"/>
  <c r="S9" i="2"/>
  <c r="T9" i="2" s="1"/>
  <c r="E5" i="2"/>
  <c r="T5" i="2" s="1"/>
  <c r="S5" i="2"/>
  <c r="S18" i="2"/>
  <c r="T18" i="2" s="1"/>
  <c r="T19" i="2" s="1"/>
  <c r="D28" i="2"/>
  <c r="K5" i="2"/>
  <c r="Q28" i="2"/>
  <c r="R19" i="2"/>
  <c r="C18" i="2"/>
  <c r="C21" i="2" s="1"/>
  <c r="C28" i="2" s="1"/>
  <c r="J8" i="2" s="1"/>
  <c r="J14" i="2" s="1"/>
  <c r="J29" i="2" s="1"/>
  <c r="J30" i="2" s="1"/>
  <c r="K8" i="2" l="1"/>
  <c r="K14" i="2" s="1"/>
  <c r="K29" i="2" s="1"/>
  <c r="S19" i="2"/>
  <c r="L5" i="2"/>
  <c r="T22" i="2"/>
  <c r="R8" i="2"/>
  <c r="R23" i="2"/>
  <c r="S23" i="2" l="1"/>
  <c r="S24" i="2" s="1"/>
  <c r="S26" i="2" s="1"/>
  <c r="K28" i="2"/>
  <c r="K30" i="2" s="1"/>
  <c r="R12" i="2"/>
  <c r="R24" i="2"/>
  <c r="R26" i="2" s="1"/>
  <c r="T23" i="2" l="1"/>
  <c r="T24" i="2" s="1"/>
  <c r="T26" i="2" s="1"/>
  <c r="S8" i="2"/>
  <c r="L28" i="2" s="1"/>
  <c r="L30" i="2" s="1"/>
  <c r="R28" i="2"/>
  <c r="S12" i="2" l="1"/>
  <c r="S28" i="2" s="1"/>
  <c r="T8" i="2"/>
  <c r="T12" i="2" s="1"/>
  <c r="T28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<sst xmlns="http://schemas.openxmlformats.org/spreadsheetml/2006/main" count="97" uniqueCount="92">
  <si>
    <t>Compact 3-Statement Model</t>
  </si>
  <si>
    <t>Compact 3-Statement Financial Model</t>
  </si>
  <si>
    <t>Integrated Income Statement · Cash Flow Statement · Balance Sheet</t>
  </si>
  <si>
    <t>Company</t>
  </si>
  <si>
    <t>ABC Industries Inc.</t>
  </si>
  <si>
    <t>Model Version</t>
  </si>
  <si>
    <t>v1.0</t>
  </si>
  <si>
    <t>Prepared By</t>
  </si>
  <si>
    <t>Ahmed Elsheshtawy</t>
  </si>
  <si>
    <t>Date Prepared</t>
  </si>
  <si>
    <t>Currency</t>
  </si>
  <si>
    <t>USD ($000s)</t>
  </si>
  <si>
    <t>Forecast Period</t>
  </si>
  <si>
    <t>2023 – 2025</t>
  </si>
  <si>
    <t>Status</t>
  </si>
  <si>
    <t>Draft — For Internal Review</t>
  </si>
  <si>
    <t>CONTENTS</t>
  </si>
  <si>
    <t>Cover</t>
  </si>
  <si>
    <t>Model</t>
  </si>
  <si>
    <t>MODEL CHECK</t>
  </si>
  <si>
    <t>Balance Sheet Balanced?</t>
  </si>
  <si>
    <t>All figures in USD thousands unless otherwise noted. For illustrative purposes only.</t>
  </si>
  <si>
    <t>3-STATEMENT FINANCIAL MODEL</t>
  </si>
  <si>
    <t>INCOME STATEMENT</t>
  </si>
  <si>
    <t>CASH FLOW STATEMENT</t>
  </si>
  <si>
    <t>BALANCE SHEET</t>
  </si>
  <si>
    <t>All figures in USD thousands</t>
  </si>
  <si>
    <t>REVENUE</t>
  </si>
  <si>
    <t>CASH FROM OPERATIONS</t>
  </si>
  <si>
    <t>ASSETS</t>
  </si>
  <si>
    <t>Revenue</t>
  </si>
  <si>
    <t>58000</t>
  </si>
  <si>
    <t>62000</t>
  </si>
  <si>
    <t>65000</t>
  </si>
  <si>
    <t>Net Income</t>
  </si>
  <si>
    <t xml:space="preserve">    Cash</t>
  </si>
  <si>
    <t>5000</t>
  </si>
  <si>
    <t>COGS</t>
  </si>
  <si>
    <t>Depreciation</t>
  </si>
  <si>
    <t xml:space="preserve">    Accounts Receivable</t>
  </si>
  <si>
    <t>Gross Profit</t>
  </si>
  <si>
    <t>Deferred Tax</t>
  </si>
  <si>
    <t xml:space="preserve">    Inventory</t>
  </si>
  <si>
    <t>2000</t>
  </si>
  <si>
    <t xml:space="preserve">    Cash from Accounts Receivable</t>
  </si>
  <si>
    <t>1000</t>
  </si>
  <si>
    <t xml:space="preserve">    Property, Plant &amp; Equipment</t>
  </si>
  <si>
    <t>OPERATING EXPENSES</t>
  </si>
  <si>
    <t xml:space="preserve">    Cash from Inventory</t>
  </si>
  <si>
    <t>Total Assets</t>
  </si>
  <si>
    <t>SG&amp;A</t>
  </si>
  <si>
    <t xml:space="preserve">    Cash from Accounts Payable</t>
  </si>
  <si>
    <t>Other</t>
  </si>
  <si>
    <t>Subtotal – Operations</t>
  </si>
  <si>
    <t>EBITDA</t>
  </si>
  <si>
    <t>LIABILITIES</t>
  </si>
  <si>
    <t>CASH FROM INVESTING</t>
  </si>
  <si>
    <t xml:space="preserve">    Accounts Payable</t>
  </si>
  <si>
    <t>3000</t>
  </si>
  <si>
    <t>Depreciation &amp; Amortization</t>
  </si>
  <si>
    <t>Capital Expenditure</t>
  </si>
  <si>
    <t xml:space="preserve">    Line of Credit</t>
  </si>
  <si>
    <t>EBIT</t>
  </si>
  <si>
    <t>Subtotal – Investing</t>
  </si>
  <si>
    <t xml:space="preserve">    Term Loan</t>
  </si>
  <si>
    <t>20000</t>
  </si>
  <si>
    <t xml:space="preserve">    Deferred Taxes</t>
  </si>
  <si>
    <t>Total Liabilities</t>
  </si>
  <si>
    <t>Interest Expense</t>
  </si>
  <si>
    <t>CASH FROM FINANCING</t>
  </si>
  <si>
    <t>EBT</t>
  </si>
  <si>
    <t>Line of Credit Issue / (Repay)</t>
  </si>
  <si>
    <t>Term Loan Issue / (Repay)</t>
  </si>
  <si>
    <t>TAXES</t>
  </si>
  <si>
    <t>Equity Issue / (Buyback)</t>
  </si>
  <si>
    <t>0</t>
  </si>
  <si>
    <t>EQUITY</t>
  </si>
  <si>
    <t>Current Tax</t>
  </si>
  <si>
    <t>Payment of Dividends</t>
  </si>
  <si>
    <t xml:space="preserve">    Equity Capital</t>
  </si>
  <si>
    <t>44000</t>
  </si>
  <si>
    <t>Subtotal – Financing</t>
  </si>
  <si>
    <t xml:space="preserve">    Retained Earnings</t>
  </si>
  <si>
    <t>Total Tax</t>
  </si>
  <si>
    <t>Shareholders' Equity</t>
  </si>
  <si>
    <t>CASH BALANCE</t>
  </si>
  <si>
    <t>Total Liabilities &amp; Equity</t>
  </si>
  <si>
    <t>NET INCOME</t>
  </si>
  <si>
    <t>Beginning</t>
  </si>
  <si>
    <t>Change in Cash</t>
  </si>
  <si>
    <t>Ending</t>
  </si>
  <si>
    <t>Check (Assets – L&amp;E)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</si>
</sst>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"/>
    <numFmt numFmtId="165" formatCode="#,##0;\(#,##0\);\-"/>
    <numFmt numFmtId="166" formatCode="0000\F"/>
    <numFmt numFmtId="167" formatCode="0000\A"/>
    <numFmt numFmtId="168" formatCode="[=1]&quot;☑️&quot;;[=0]&quot;⬜&quot;"/>
  </numFmts>
  <fonts count="18" x14ac:knownFonts="1">
    <font>
      <sz val="11"/>
      <color theme="1"/>
      <name val="Calibri"/>
      <family val="2"/>
      <charset val="1"/>
    </font>
    <font>
      <b/>
      <sz val="14"/>
      <color rgb="FF0E7C7B"/>
      <name val="Calibri"/>
      <family val="2"/>
    </font>
    <font>
      <b/>
      <sz val="11"/>
      <color rgb="FFAAAAAA"/>
      <name val="Calibri"/>
      <family val="2"/>
    </font>
    <font>
      <b/>
      <sz val="24"/>
      <color rgb="FF1B2430"/>
      <name val="Calibri"/>
      <family val="2"/>
    </font>
    <font>
      <i/>
      <sz val="11"/>
      <color rgb="FF6E7681"/>
      <name val="Calibri"/>
      <family val="2"/>
    </font>
    <font>
      <b/>
      <sz val="10.5"/>
      <color rgb="FF33495E"/>
      <name val="Calibri"/>
      <family val="2"/>
    </font>
    <font>
      <sz val="10.5"/>
      <color rgb="FF1F2328"/>
      <name val="Calibri"/>
      <family val="2"/>
    </font>
    <font>
      <b/>
      <sz val="11"/>
      <color rgb="FF0E7C7B"/>
      <name val="Calibri"/>
      <family val="2"/>
    </font>
    <font>
      <b/>
      <sz val="10.5"/>
      <color rgb="FF0E7C7B"/>
      <name val="Calibri"/>
      <family val="2"/>
    </font>
    <font>
      <i/>
      <sz val="9"/>
      <color rgb="FF6E7681"/>
      <name val="Calibri"/>
      <family val="2"/>
    </font>
    <font>
      <b/>
      <sz val="14"/>
      <color rgb="FFFFFFFF"/>
      <name val="Calibri"/>
      <family val="2"/>
    </font>
    <font>
      <sz val="10"/>
      <color rgb="FF0E7C7B"/>
      <name val="Calibri"/>
      <family val="2"/>
    </font>
    <font>
      <b/>
      <sz val="11"/>
      <color rgb="FFFFFFFF"/>
      <name val="Calibri"/>
      <family val="2"/>
    </font>
    <font>
      <sz val="10.5"/>
      <color rgb="FF0033CC"/>
      <name val="Calibri"/>
      <family val="2"/>
    </font>
    <font>
      <sz val="10.5"/>
      <color rgb="FF000000"/>
      <name val="Calibri"/>
      <family val="2"/>
    </font>
    <font>
      <b/>
      <sz val="10.5"/>
      <color rgb="FF1B2430"/>
      <name val="Calibri"/>
      <family val="2"/>
    </font>
    <font>
      <sz val="9"/>
      <color rgb="FF6E7681"/>
      <name val="Calibri"/>
      <family val="2"/>
    </font>
    <font>
      <sz val="8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B2430"/>
        <bgColor rgb="FF1F2328"/>
      </patternFill>
    </fill>
    <fill>
      <patternFill patternType="solid">
        <fgColor rgb="FF0E7C7B"/>
        <bgColor rgb="FF008080"/>
      </patternFill>
    </fill>
    <fill>
      <patternFill patternType="solid">
        <fgColor rgb="FFF6F7F9"/>
        <bgColor rgb="FFEEF2F7"/>
      </patternFill>
    </fill>
    <fill>
      <patternFill patternType="solid">
        <fgColor rgb="FFE8F4F4"/>
        <bgColor rgb="FFEEF2F7"/>
      </patternFill>
    </fill>
    <fill>
      <patternFill patternType="solid">
        <fgColor rgb="FF33495E"/>
        <bgColor rgb="FF1B2430"/>
      </patternFill>
    </fill>
    <fill>
      <patternFill patternType="solid">
        <fgColor rgb="FFEEF2F7"/>
        <bgColor rgb="FFE8F4F4"/>
      </patternFill>
    </fill>
    <fill>
      <patternFill patternType="solid">
        <fgColor rgb="FFEEF2F7"/>
        <bgColor rgb="FFEEF2F7"/>
      </patternFill>
    </fill>
    <fill>
      <patternFill patternType="solid">
        <fgColor rgb="FFEEF2F7"/>
        <bgColor indexed="64"/>
      </patternFill>
    </fill>
    <fill>
      <patternFill patternType="solid">
        <fgColor theme="0"/>
        <bgColor rgb="FFE8F4F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EEF2F7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4DA"/>
      </bottom>
      <diagonal/>
    </border>
    <border>
      <left/>
      <right/>
      <top style="thin">
        <color rgb="FF33495E"/>
      </top>
      <bottom style="double">
        <color rgb="FF1B243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right" vertical="center"/>
    </xf>
    <xf numFmtId="0" fontId="0" fillId="3" borderId="0" xfId="0" applyFill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1" xfId="0" applyFont="1" applyBorder="1"/>
    <xf numFmtId="0" fontId="6" fillId="0" borderId="1" xfId="0" applyFont="1" applyBorder="1"/>
    <xf numFmtId="164" fontId="6" fillId="0" borderId="1" xfId="0" applyNumberFormat="1" applyFont="1" applyBorder="1"/>
    <xf numFmtId="0" fontId="7" fillId="4" borderId="0" xfId="0" applyFont="1" applyFill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165" fontId="13" fillId="0" borderId="0" xfId="0" applyNumberFormat="1" applyFont="1" applyAlignment="1">
      <alignment horizontal="right" vertical="center"/>
    </xf>
    <xf numFmtId="165" fontId="14" fillId="0" borderId="0" xfId="0" applyNumberFormat="1" applyFont="1" applyAlignment="1">
      <alignment horizontal="right" vertical="center"/>
    </xf>
    <xf numFmtId="0" fontId="15" fillId="7" borderId="2" xfId="0" applyFont="1" applyFill="1" applyBorder="1" applyAlignment="1">
      <alignment horizontal="left" vertical="center"/>
    </xf>
    <xf numFmtId="165" fontId="15" fillId="7" borderId="2" xfId="0" applyNumberFormat="1" applyFont="1" applyFill="1" applyBorder="1" applyAlignment="1">
      <alignment horizontal="right" vertical="center"/>
    </xf>
    <xf numFmtId="165" fontId="8" fillId="7" borderId="2" xfId="0" applyNumberFormat="1" applyFont="1" applyFill="1" applyBorder="1" applyAlignment="1">
      <alignment horizontal="right" vertical="center"/>
    </xf>
    <xf numFmtId="0" fontId="7" fillId="8" borderId="0" xfId="0" applyFont="1" applyFill="1" applyAlignment="1">
      <alignment horizontal="left" vertical="center"/>
    </xf>
    <xf numFmtId="0" fontId="0" fillId="9" borderId="0" xfId="0" applyFill="1"/>
    <xf numFmtId="0" fontId="15" fillId="10" borderId="0" xfId="0" applyFont="1" applyFill="1" applyAlignment="1">
      <alignment horizontal="left" vertical="center"/>
    </xf>
    <xf numFmtId="165" fontId="15" fillId="10" borderId="0" xfId="0" applyNumberFormat="1" applyFont="1" applyFill="1" applyAlignment="1">
      <alignment horizontal="right" vertical="center"/>
    </xf>
    <xf numFmtId="0" fontId="16" fillId="0" borderId="0" xfId="0" applyFont="1"/>
    <xf numFmtId="166" fontId="12" fillId="6" borderId="0" xfId="0" applyNumberFormat="1" applyFont="1" applyFill="1" applyAlignment="1">
      <alignment horizontal="center" vertical="center"/>
    </xf>
    <xf numFmtId="167" fontId="12" fillId="6" borderId="0" xfId="0" applyNumberFormat="1" applyFont="1" applyFill="1" applyAlignment="1">
      <alignment horizontal="center" vertical="center"/>
    </xf>
    <xf numFmtId="3" fontId="15" fillId="7" borderId="2" xfId="0" applyNumberFormat="1" applyFont="1" applyFill="1" applyBorder="1" applyAlignment="1">
      <alignment horizontal="right" vertical="center"/>
    </xf>
    <xf numFmtId="165" fontId="0" fillId="0" borderId="0" xfId="0" applyNumberFormat="1"/>
    <xf numFmtId="168" fontId="17" fillId="0" borderId="0" xfId="0" applyNumberFormat="1" applyFont="1"/>
    <xf numFmtId="165" fontId="14" fillId="11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center"/>
    </xf>
    <xf numFmtId="0" fontId="7" fillId="12" borderId="0" xfId="0" applyFont="1" applyFill="1"/>
    <xf numFmtId="0" fontId="0" fillId="13" borderId="0" xfId="0" applyFill="1"/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C0C0C0"/>
      <rgbColor rgb="FF6E7681"/>
      <rgbColor rgb="FF9999FF"/>
      <rgbColor rgb="FF993366"/>
      <rgbColor rgb="FFF6F7F9"/>
      <rgbColor rgb="FFE8F4F4"/>
      <rgbColor rgb="FF660066"/>
      <rgbColor rgb="FFFF8080"/>
      <rgbColor rgb="FF0066CC"/>
      <rgbColor rgb="FFD0D4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CC"/>
      <rgbColor rgb="FF339966"/>
      <rgbColor rgb="FF003300"/>
      <rgbColor rgb="FF1B2430"/>
      <rgbColor rgb="FF993300"/>
      <rgbColor rgb="FF993366"/>
      <rgbColor rgb="FF33495E"/>
      <rgbColor rgb="FF1F23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EF2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showGridLines="0" zoomScale="49" zoomScaleNormal="100" workbookViewId="0"/>
  </sheetViews>
  <sheetFormatPr defaultColWidth="8.6640625" defaultRowHeight="14.4" x14ac:dyDescent="0.3"/>
  <cols>
    <col min="1" max="1" width="3" customWidth="1"/>
    <col min="2" max="2" width="26" customWidth="1"/>
    <col min="3" max="3" width="28" customWidth="1"/>
    <col min="4" max="4" width="3" customWidth="1"/>
    <col min="5" max="6" width="22" customWidth="1"/>
    <col min="7" max="7" width="3" customWidth="1"/>
  </cols>
  <sheetData>
    <row r="1" spans="1:7" ht="69.75" customHeight="1" x14ac:dyDescent="0.35">
      <c r="A1" s="1"/>
      <c r="B1" s="33" t="e" vm="1">
        <v>#VALUE!</v>
      </c>
      <c r="C1" s="1"/>
      <c r="D1" s="1"/>
      <c r="E1" s="1"/>
      <c r="F1" s="2" t="s">
        <v>0</v>
      </c>
      <c r="G1" s="1"/>
    </row>
    <row r="2" spans="1:7" ht="3.75" customHeight="1" x14ac:dyDescent="0.3">
      <c r="A2" s="3"/>
      <c r="B2" s="3"/>
      <c r="C2" s="3"/>
      <c r="D2" s="3"/>
      <c r="E2" s="3"/>
      <c r="F2" s="3"/>
      <c r="G2" s="3"/>
    </row>
    <row r="3" spans="1:7" ht="15" customHeight="1" x14ac:dyDescent="0.3"/>
    <row r="4" spans="1:7" ht="12" customHeight="1" x14ac:dyDescent="0.3"/>
    <row r="5" spans="1:7" ht="36" customHeight="1" x14ac:dyDescent="0.3">
      <c r="B5" s="4" t="s">
        <v>1</v>
      </c>
    </row>
    <row r="6" spans="1:7" ht="18" customHeight="1" x14ac:dyDescent="0.3">
      <c r="B6" s="5" t="s">
        <v>2</v>
      </c>
    </row>
    <row r="7" spans="1:7" ht="15" customHeight="1" x14ac:dyDescent="0.3"/>
    <row r="8" spans="1:7" ht="15" customHeight="1" x14ac:dyDescent="0.3"/>
    <row r="9" spans="1:7" ht="15" customHeight="1" x14ac:dyDescent="0.3">
      <c r="B9" s="6" t="s">
        <v>3</v>
      </c>
      <c r="C9" s="7" t="s">
        <v>4</v>
      </c>
    </row>
    <row r="10" spans="1:7" ht="15" customHeight="1" x14ac:dyDescent="0.3">
      <c r="B10" s="6" t="s">
        <v>5</v>
      </c>
      <c r="C10" s="7" t="s">
        <v>6</v>
      </c>
    </row>
    <row r="11" spans="1:7" ht="15" customHeight="1" x14ac:dyDescent="0.3">
      <c r="B11" s="6" t="s">
        <v>7</v>
      </c>
      <c r="C11" s="7" t="s">
        <v>8</v>
      </c>
    </row>
    <row r="12" spans="1:7" ht="15" customHeight="1" x14ac:dyDescent="0.3">
      <c r="B12" s="6" t="s">
        <v>9</v>
      </c>
      <c r="C12" s="8">
        <f ca="1">TODAY()</f>
        <v>46257</v>
      </c>
    </row>
    <row r="13" spans="1:7" ht="15" customHeight="1" x14ac:dyDescent="0.3">
      <c r="B13" s="6" t="s">
        <v>10</v>
      </c>
      <c r="C13" s="7" t="s">
        <v>11</v>
      </c>
    </row>
    <row r="14" spans="1:7" ht="15" customHeight="1" x14ac:dyDescent="0.3">
      <c r="B14" s="6" t="s">
        <v>12</v>
      </c>
      <c r="C14" s="7" t="s">
        <v>13</v>
      </c>
    </row>
    <row r="15" spans="1:7" ht="15" customHeight="1" x14ac:dyDescent="0.3">
      <c r="B15" s="6" t="s">
        <v>14</v>
      </c>
      <c r="C15" s="7" t="s">
        <v>15</v>
      </c>
    </row>
    <row r="16" spans="1:7" ht="15" customHeight="1" x14ac:dyDescent="0.3"/>
    <row r="17" spans="2:4" ht="15" customHeight="1" x14ac:dyDescent="0.3"/>
    <row r="18" spans="2:4" ht="18" customHeight="1" x14ac:dyDescent="0.3">
      <c r="B18" s="9" t="s">
        <v>16</v>
      </c>
      <c r="C18" s="34" t="s">
        <v>19</v>
      </c>
      <c r="D18" s="35"/>
    </row>
    <row r="19" spans="2:4" ht="15" customHeight="1" x14ac:dyDescent="0.3">
      <c r="B19" s="10" t="s">
        <v>17</v>
      </c>
      <c r="C19" s="10" t="s">
        <v>20</v>
      </c>
      <c r="D19" s="11" t="str">
        <f>IF(SUM(model!Q28:T28)=0,"YES","NO")</f>
        <v>YES</v>
      </c>
    </row>
    <row r="20" spans="2:4" ht="15" customHeight="1" x14ac:dyDescent="0.3">
      <c r="B20" s="10" t="s">
        <v>18</v>
      </c>
      <c r="D20" s="11"/>
    </row>
    <row r="21" spans="2:4" ht="15" customHeight="1" x14ac:dyDescent="0.3"/>
    <row r="22" spans="2:4" ht="15" customHeight="1" x14ac:dyDescent="0.3"/>
    <row r="23" spans="2:4" ht="18" customHeight="1" x14ac:dyDescent="0.3"/>
    <row r="24" spans="2:4" ht="15" customHeight="1" x14ac:dyDescent="0.3"/>
    <row r="25" spans="2:4" ht="15" customHeight="1" x14ac:dyDescent="0.3"/>
    <row r="26" spans="2:4" ht="15" customHeight="1" x14ac:dyDescent="0.3"/>
    <row r="27" spans="2:4" ht="15" customHeight="1" x14ac:dyDescent="0.3"/>
    <row r="28" spans="2:4" ht="15" customHeight="1" x14ac:dyDescent="0.3"/>
    <row r="29" spans="2:4" ht="15" customHeight="1" x14ac:dyDescent="0.3"/>
    <row r="30" spans="2:4" ht="15" customHeight="1" x14ac:dyDescent="0.3"/>
    <row r="31" spans="2:4" ht="15" customHeight="1" x14ac:dyDescent="0.3"/>
    <row r="32" spans="2:4" ht="15" customHeight="1" x14ac:dyDescent="0.3"/>
    <row r="33" spans="2:2" ht="15" customHeight="1" x14ac:dyDescent="0.3"/>
    <row r="34" spans="2:2" ht="15" customHeight="1" x14ac:dyDescent="0.3"/>
    <row r="35" spans="2:2" ht="13.5" customHeight="1" x14ac:dyDescent="0.3">
      <c r="B35" s="12" t="s">
        <v>21</v>
      </c>
    </row>
    <row r="36" spans="2:2" ht="15" customHeight="1" x14ac:dyDescent="0.3"/>
    <row r="37" spans="2:2" ht="15" customHeight="1" x14ac:dyDescent="0.3"/>
    <row r="38" spans="2:2" ht="15" customHeight="1" x14ac:dyDescent="0.3"/>
    <row r="39" spans="2:2" ht="1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showGridLines="0" tabSelected="1" zoomScale="83" zoomScaleNormal="134" workbookViewId="0">
      <selection activeCell="A10" sqref="A10"/>
    </sheetView>
  </sheetViews>
  <sheetFormatPr defaultColWidth="8.6640625" defaultRowHeight="14.4" x14ac:dyDescent="0.3"/>
  <cols>
    <col min="1" max="1" width="1.5546875" customWidth="1"/>
    <col min="2" max="2" width="22.77734375" customWidth="1"/>
    <col min="3" max="5" width="10" customWidth="1"/>
    <col min="6" max="6" width="3.77734375" bestFit="1" customWidth="1"/>
    <col min="7" max="8" width="1.5546875" customWidth="1"/>
    <col min="9" max="9" width="29.88671875" bestFit="1" customWidth="1"/>
    <col min="10" max="12" width="10" customWidth="1"/>
    <col min="13" max="15" width="1.5546875" customWidth="1"/>
    <col min="16" max="16" width="24" customWidth="1"/>
    <col min="17" max="20" width="10" customWidth="1"/>
  </cols>
  <sheetData>
    <row r="1" spans="1:20" ht="36" customHeight="1" x14ac:dyDescent="0.3">
      <c r="A1" s="1"/>
      <c r="B1" s="13" t="s">
        <v>22</v>
      </c>
      <c r="C1" s="1"/>
      <c r="D1" s="1"/>
      <c r="E1" s="1"/>
      <c r="F1" s="1"/>
      <c r="G1" s="1"/>
      <c r="H1" s="1"/>
      <c r="I1" s="14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8" x14ac:dyDescent="0.3">
      <c r="B3" s="36" t="s">
        <v>23</v>
      </c>
      <c r="C3" s="36"/>
      <c r="D3" s="36"/>
      <c r="E3" s="36"/>
      <c r="I3" s="36" t="s">
        <v>24</v>
      </c>
      <c r="J3" s="36"/>
      <c r="K3" s="36"/>
      <c r="L3" s="36"/>
      <c r="P3" s="36" t="s">
        <v>25</v>
      </c>
      <c r="Q3" s="36"/>
      <c r="R3" s="36"/>
      <c r="S3" s="36"/>
      <c r="T3" s="36"/>
    </row>
    <row r="4" spans="1:20" x14ac:dyDescent="0.3">
      <c r="B4" s="26" t="s">
        <v>26</v>
      </c>
      <c r="I4" s="26" t="s">
        <v>26</v>
      </c>
      <c r="P4" s="26" t="s">
        <v>26</v>
      </c>
    </row>
    <row r="5" spans="1:20" ht="15" customHeight="1" x14ac:dyDescent="0.3">
      <c r="C5" s="27">
        <v>2023</v>
      </c>
      <c r="D5" s="27">
        <f>C5+1</f>
        <v>2024</v>
      </c>
      <c r="E5" s="27">
        <f>D5+1</f>
        <v>2025</v>
      </c>
      <c r="I5" s="30"/>
      <c r="J5" s="27">
        <f>C5</f>
        <v>2023</v>
      </c>
      <c r="K5" s="27">
        <f>D5</f>
        <v>2024</v>
      </c>
      <c r="L5" s="27">
        <f>E5</f>
        <v>2025</v>
      </c>
      <c r="Q5" s="28">
        <f>C5-1</f>
        <v>2022</v>
      </c>
      <c r="R5" s="27">
        <f>C5</f>
        <v>2023</v>
      </c>
      <c r="S5" s="27">
        <f>D5</f>
        <v>2024</v>
      </c>
      <c r="T5" s="27">
        <f>E5</f>
        <v>2025</v>
      </c>
    </row>
    <row r="6" spans="1:20" ht="14.25" customHeight="1" x14ac:dyDescent="0.3"/>
    <row r="7" spans="1:20" ht="14.25" customHeight="1" x14ac:dyDescent="0.3">
      <c r="B7" s="15" t="s">
        <v>27</v>
      </c>
      <c r="C7" s="15"/>
      <c r="D7" s="15"/>
      <c r="E7" s="15"/>
      <c r="I7" s="22" t="s">
        <v>28</v>
      </c>
      <c r="J7" s="23"/>
      <c r="K7" s="23"/>
      <c r="L7" s="23"/>
      <c r="P7" s="22" t="s">
        <v>29</v>
      </c>
      <c r="Q7" s="23"/>
      <c r="R7" s="23"/>
      <c r="S7" s="23"/>
      <c r="T7" s="23"/>
    </row>
    <row r="8" spans="1:20" ht="14.25" customHeight="1" x14ac:dyDescent="0.3">
      <c r="B8" s="16" t="s">
        <v>30</v>
      </c>
      <c r="C8" s="17" t="s">
        <v>31</v>
      </c>
      <c r="D8" s="17" t="s">
        <v>32</v>
      </c>
      <c r="E8" s="17" t="s">
        <v>33</v>
      </c>
      <c r="I8" s="16" t="s">
        <v>34</v>
      </c>
      <c r="J8" s="18">
        <f>C28</f>
        <v>7000</v>
      </c>
      <c r="K8" s="18">
        <f>D28</f>
        <v>9000</v>
      </c>
      <c r="L8" s="18">
        <f>E28</f>
        <v>10000</v>
      </c>
      <c r="P8" s="16" t="s">
        <v>35</v>
      </c>
      <c r="Q8" s="17">
        <v>5000</v>
      </c>
      <c r="R8" s="18">
        <f>J30</f>
        <v>11000</v>
      </c>
      <c r="S8" s="18">
        <f>K30</f>
        <v>17000</v>
      </c>
      <c r="T8" s="18">
        <f t="shared" ref="T8" si="0">L30</f>
        <v>25000</v>
      </c>
    </row>
    <row r="9" spans="1:20" ht="14.25" customHeight="1" x14ac:dyDescent="0.3">
      <c r="B9" s="16" t="s">
        <v>37</v>
      </c>
      <c r="C9" s="17">
        <v>-30000</v>
      </c>
      <c r="D9" s="17">
        <v>-31000</v>
      </c>
      <c r="E9" s="17">
        <v>-32000</v>
      </c>
      <c r="I9" s="16" t="s">
        <v>38</v>
      </c>
      <c r="J9" s="18">
        <f>-C17</f>
        <v>4000</v>
      </c>
      <c r="K9" s="18">
        <f>-D17</f>
        <v>4000</v>
      </c>
      <c r="L9" s="18">
        <f>-E17</f>
        <v>4000</v>
      </c>
      <c r="P9" s="16" t="s">
        <v>39</v>
      </c>
      <c r="Q9" s="17">
        <v>6000</v>
      </c>
      <c r="R9" s="18">
        <f>Q9-J11</f>
        <v>5000</v>
      </c>
      <c r="S9" s="18">
        <f>R9-K11</f>
        <v>4000</v>
      </c>
      <c r="T9" s="18">
        <f t="shared" ref="T9" si="1">S9-L11</f>
        <v>3000</v>
      </c>
    </row>
    <row r="10" spans="1:20" ht="14.25" customHeight="1" thickBot="1" x14ac:dyDescent="0.35">
      <c r="B10" s="19" t="s">
        <v>40</v>
      </c>
      <c r="C10" s="20">
        <f>C8+C9</f>
        <v>28000</v>
      </c>
      <c r="D10" s="20">
        <f>D8+D9</f>
        <v>31000</v>
      </c>
      <c r="E10" s="20">
        <f>E8+E9</f>
        <v>33000</v>
      </c>
      <c r="F10" s="31"/>
      <c r="I10" s="16" t="s">
        <v>41</v>
      </c>
      <c r="J10" s="18">
        <f>-C25</f>
        <v>2000</v>
      </c>
      <c r="K10" s="18">
        <f>-D25</f>
        <v>2000</v>
      </c>
      <c r="L10" s="18">
        <f>-E25</f>
        <v>2000</v>
      </c>
      <c r="P10" s="16" t="s">
        <v>42</v>
      </c>
      <c r="Q10" s="17" t="s">
        <v>43</v>
      </c>
      <c r="R10" s="18">
        <f>Q10+-J12</f>
        <v>3000</v>
      </c>
      <c r="S10" s="18">
        <f>R10+-K12</f>
        <v>4000</v>
      </c>
      <c r="T10" s="18">
        <f>S10+-L12</f>
        <v>5000</v>
      </c>
    </row>
    <row r="11" spans="1:20" ht="14.25" customHeight="1" thickTop="1" x14ac:dyDescent="0.3">
      <c r="I11" s="16" t="s">
        <v>44</v>
      </c>
      <c r="J11" s="17">
        <v>1000</v>
      </c>
      <c r="K11" s="17">
        <v>1000</v>
      </c>
      <c r="L11" s="17">
        <v>1000</v>
      </c>
      <c r="P11" s="16" t="s">
        <v>46</v>
      </c>
      <c r="Q11" s="17">
        <v>65000</v>
      </c>
      <c r="R11" s="18">
        <f>Q11-J9+-J17</f>
        <v>65000</v>
      </c>
      <c r="S11" s="18">
        <f>R11-K9+-K17</f>
        <v>65000</v>
      </c>
      <c r="T11" s="18">
        <f t="shared" ref="T11" si="2">S11-L9+-L17</f>
        <v>65000</v>
      </c>
    </row>
    <row r="12" spans="1:20" ht="14.25" customHeight="1" thickBot="1" x14ac:dyDescent="0.35">
      <c r="B12" s="15" t="s">
        <v>47</v>
      </c>
      <c r="C12" s="15"/>
      <c r="D12" s="15"/>
      <c r="E12" s="15"/>
      <c r="I12" s="16" t="s">
        <v>48</v>
      </c>
      <c r="J12" s="17">
        <v>-1000</v>
      </c>
      <c r="K12" s="17">
        <v>-1000</v>
      </c>
      <c r="L12" s="17">
        <v>-1000</v>
      </c>
      <c r="P12" s="19" t="s">
        <v>49</v>
      </c>
      <c r="Q12" s="20">
        <f>Q8+Q9+Q10+Q11</f>
        <v>78000</v>
      </c>
      <c r="R12" s="20">
        <f>SUM(R8:R11)</f>
        <v>84000</v>
      </c>
      <c r="S12" s="20">
        <f t="shared" ref="S12:T12" si="3">SUM(S8:S11)</f>
        <v>90000</v>
      </c>
      <c r="T12" s="20">
        <f t="shared" si="3"/>
        <v>98000</v>
      </c>
    </row>
    <row r="13" spans="1:20" ht="14.25" customHeight="1" thickTop="1" x14ac:dyDescent="0.3">
      <c r="B13" s="16" t="s">
        <v>50</v>
      </c>
      <c r="C13" s="17">
        <v>-6000</v>
      </c>
      <c r="D13" s="17">
        <v>-7000</v>
      </c>
      <c r="E13" s="17">
        <v>-8000</v>
      </c>
      <c r="I13" s="16" t="s">
        <v>51</v>
      </c>
      <c r="J13" s="17">
        <v>1000</v>
      </c>
      <c r="K13" s="17">
        <v>1000</v>
      </c>
      <c r="L13" s="17">
        <v>1000</v>
      </c>
    </row>
    <row r="14" spans="1:20" ht="14.25" customHeight="1" thickBot="1" x14ac:dyDescent="0.35">
      <c r="B14" s="16" t="s">
        <v>52</v>
      </c>
      <c r="C14" s="17">
        <v>-2000</v>
      </c>
      <c r="D14" s="17">
        <v>-2000</v>
      </c>
      <c r="E14" s="17">
        <v>-2000</v>
      </c>
      <c r="I14" s="19" t="s">
        <v>53</v>
      </c>
      <c r="J14" s="20">
        <f>SUM(J8:J13)</f>
        <v>14000</v>
      </c>
      <c r="K14" s="20">
        <f>SUM(K8:K13)</f>
        <v>16000</v>
      </c>
      <c r="L14" s="20">
        <f>SUM(L8:L13)</f>
        <v>17000</v>
      </c>
      <c r="P14" s="22" t="s">
        <v>55</v>
      </c>
      <c r="Q14" s="23"/>
      <c r="R14" s="23"/>
      <c r="S14" s="23"/>
      <c r="T14" s="23"/>
    </row>
    <row r="15" spans="1:20" ht="14.25" customHeight="1" thickTop="1" thickBot="1" x14ac:dyDescent="0.35">
      <c r="B15" s="19" t="s">
        <v>54</v>
      </c>
      <c r="C15" s="20">
        <f>SUM(C10:C14)</f>
        <v>20000</v>
      </c>
      <c r="D15" s="20">
        <f>SUM(D10:D14)</f>
        <v>22000</v>
      </c>
      <c r="E15" s="20">
        <f>SUM(E10:E14)</f>
        <v>23000</v>
      </c>
      <c r="P15" s="16" t="s">
        <v>57</v>
      </c>
      <c r="Q15" s="17" t="s">
        <v>58</v>
      </c>
      <c r="R15" s="18">
        <f>Q15+J13</f>
        <v>4000</v>
      </c>
      <c r="S15" s="18">
        <f>R15+K13</f>
        <v>5000</v>
      </c>
      <c r="T15" s="18">
        <f t="shared" ref="T15" si="4">S15+L13</f>
        <v>6000</v>
      </c>
    </row>
    <row r="16" spans="1:20" ht="14.25" customHeight="1" thickTop="1" x14ac:dyDescent="0.3">
      <c r="B16" s="24"/>
      <c r="C16" s="25"/>
      <c r="D16" s="25"/>
      <c r="E16" s="25"/>
      <c r="I16" s="22" t="s">
        <v>56</v>
      </c>
      <c r="J16" s="23"/>
      <c r="K16" s="23"/>
      <c r="L16" s="23"/>
      <c r="P16" s="16" t="s">
        <v>61</v>
      </c>
      <c r="Q16" s="17" t="s">
        <v>36</v>
      </c>
      <c r="R16" s="18">
        <f>Q16+J21</f>
        <v>4000</v>
      </c>
      <c r="S16" s="18">
        <f>R16+K21</f>
        <v>2000</v>
      </c>
      <c r="T16" s="18">
        <f>S16+L21</f>
        <v>1000</v>
      </c>
    </row>
    <row r="17" spans="2:20" ht="14.25" customHeight="1" x14ac:dyDescent="0.3">
      <c r="B17" s="16" t="s">
        <v>59</v>
      </c>
      <c r="C17" s="17">
        <v>-4000</v>
      </c>
      <c r="D17" s="17">
        <v>-4000</v>
      </c>
      <c r="E17" s="17">
        <v>-4000</v>
      </c>
      <c r="I17" s="16" t="s">
        <v>60</v>
      </c>
      <c r="J17" s="17">
        <v>-4000</v>
      </c>
      <c r="K17" s="17">
        <v>-4000</v>
      </c>
      <c r="L17" s="17">
        <v>-4000</v>
      </c>
      <c r="P17" s="16" t="s">
        <v>64</v>
      </c>
      <c r="Q17" s="17" t="s">
        <v>65</v>
      </c>
      <c r="R17" s="18">
        <f>Q17+J22</f>
        <v>17000</v>
      </c>
      <c r="S17" s="18">
        <f>R17+K22</f>
        <v>14000</v>
      </c>
      <c r="T17" s="18">
        <f t="shared" ref="T17" si="5">S17+L22</f>
        <v>11000</v>
      </c>
    </row>
    <row r="18" spans="2:20" ht="14.25" customHeight="1" thickBot="1" x14ac:dyDescent="0.35">
      <c r="B18" s="19" t="s">
        <v>62</v>
      </c>
      <c r="C18" s="20">
        <f>SUM(C15:C17)</f>
        <v>16000</v>
      </c>
      <c r="D18" s="20">
        <f>SUM(D15:D17)</f>
        <v>18000</v>
      </c>
      <c r="E18" s="20">
        <f>SUM(E15:E17)</f>
        <v>19000</v>
      </c>
      <c r="I18" s="19" t="s">
        <v>63</v>
      </c>
      <c r="J18" s="20">
        <f>SUM(J17)</f>
        <v>-4000</v>
      </c>
      <c r="K18" s="20">
        <f>SUM(K17)</f>
        <v>-4000</v>
      </c>
      <c r="L18" s="20">
        <f>SUM(L17)</f>
        <v>-4000</v>
      </c>
      <c r="P18" s="16" t="s">
        <v>66</v>
      </c>
      <c r="Q18" s="17" t="s">
        <v>45</v>
      </c>
      <c r="R18" s="18">
        <f>J10+Q18</f>
        <v>3000</v>
      </c>
      <c r="S18" s="18">
        <f t="shared" ref="S18:T18" si="6">K10+R18</f>
        <v>5000</v>
      </c>
      <c r="T18" s="18">
        <f t="shared" si="6"/>
        <v>7000</v>
      </c>
    </row>
    <row r="19" spans="2:20" ht="14.25" customHeight="1" thickTop="1" thickBot="1" x14ac:dyDescent="0.35">
      <c r="P19" s="19" t="s">
        <v>67</v>
      </c>
      <c r="Q19" s="20">
        <f>Q15+Q16+Q17+Q18</f>
        <v>29000</v>
      </c>
      <c r="R19" s="20">
        <f>SUM(R15:R18)</f>
        <v>28000</v>
      </c>
      <c r="S19" s="20">
        <f>SUM(S15:S18)</f>
        <v>26000</v>
      </c>
      <c r="T19" s="20">
        <f t="shared" ref="T19" si="7">SUM(T15:T18)</f>
        <v>25000</v>
      </c>
    </row>
    <row r="20" spans="2:20" ht="14.25" customHeight="1" thickTop="1" x14ac:dyDescent="0.3">
      <c r="B20" s="16" t="s">
        <v>68</v>
      </c>
      <c r="C20" s="17">
        <v>-6000</v>
      </c>
      <c r="D20" s="17">
        <v>-6000</v>
      </c>
      <c r="E20" s="17">
        <v>-6000</v>
      </c>
      <c r="I20" s="22" t="s">
        <v>69</v>
      </c>
      <c r="J20" s="23"/>
      <c r="K20" s="23"/>
      <c r="L20" s="23"/>
    </row>
    <row r="21" spans="2:20" ht="14.25" customHeight="1" thickBot="1" x14ac:dyDescent="0.35">
      <c r="B21" s="19" t="s">
        <v>70</v>
      </c>
      <c r="C21" s="20">
        <f>SUM(C18:C20)</f>
        <v>10000</v>
      </c>
      <c r="D21" s="20">
        <f>SUM(D18:D20)</f>
        <v>12000</v>
      </c>
      <c r="E21" s="20">
        <f>SUM(E18:E20)</f>
        <v>13000</v>
      </c>
      <c r="I21" s="16" t="s">
        <v>71</v>
      </c>
      <c r="J21" s="17">
        <v>-1000</v>
      </c>
      <c r="K21" s="17">
        <v>-2000</v>
      </c>
      <c r="L21" s="17">
        <v>-1000</v>
      </c>
      <c r="P21" s="22" t="s">
        <v>76</v>
      </c>
      <c r="Q21" s="23"/>
      <c r="R21" s="23"/>
      <c r="S21" s="23"/>
      <c r="T21" s="23"/>
    </row>
    <row r="22" spans="2:20" ht="14.25" customHeight="1" thickTop="1" x14ac:dyDescent="0.3">
      <c r="I22" s="16" t="s">
        <v>72</v>
      </c>
      <c r="J22" s="17">
        <v>-3000</v>
      </c>
      <c r="K22" s="17">
        <v>-3000</v>
      </c>
      <c r="L22" s="17">
        <v>-3000</v>
      </c>
      <c r="P22" s="16" t="s">
        <v>79</v>
      </c>
      <c r="Q22" s="17" t="s">
        <v>80</v>
      </c>
      <c r="R22" s="18">
        <f>Q22+J23</f>
        <v>45000</v>
      </c>
      <c r="S22" s="18">
        <f>R22+K23</f>
        <v>45000</v>
      </c>
      <c r="T22" s="18">
        <f t="shared" ref="T22" si="8">S22+L23</f>
        <v>45000</v>
      </c>
    </row>
    <row r="23" spans="2:20" ht="14.25" customHeight="1" x14ac:dyDescent="0.3">
      <c r="B23" s="22" t="s">
        <v>73</v>
      </c>
      <c r="C23" s="23"/>
      <c r="D23" s="23"/>
      <c r="E23" s="23"/>
      <c r="I23" s="16" t="s">
        <v>74</v>
      </c>
      <c r="J23" s="17">
        <v>1000</v>
      </c>
      <c r="K23" s="17" t="s">
        <v>75</v>
      </c>
      <c r="L23" s="17" t="s">
        <v>75</v>
      </c>
      <c r="P23" s="16" t="s">
        <v>82</v>
      </c>
      <c r="Q23" s="17" t="s">
        <v>36</v>
      </c>
      <c r="R23" s="18">
        <f>Q23+J8+J24</f>
        <v>11000</v>
      </c>
      <c r="S23" s="18">
        <f t="shared" ref="S23:T23" si="9">R23+K8+K24</f>
        <v>19000</v>
      </c>
      <c r="T23" s="18">
        <f t="shared" si="9"/>
        <v>28000</v>
      </c>
    </row>
    <row r="24" spans="2:20" ht="14.25" customHeight="1" thickBot="1" x14ac:dyDescent="0.35">
      <c r="B24" s="16" t="s">
        <v>77</v>
      </c>
      <c r="C24" s="17">
        <v>-1000</v>
      </c>
      <c r="D24" s="17">
        <v>-1000</v>
      </c>
      <c r="E24" s="17">
        <v>-1000</v>
      </c>
      <c r="I24" s="16" t="s">
        <v>78</v>
      </c>
      <c r="J24" s="17">
        <v>-1000</v>
      </c>
      <c r="K24" s="17">
        <v>-1000</v>
      </c>
      <c r="L24" s="17">
        <v>-1000</v>
      </c>
      <c r="P24" s="19" t="s">
        <v>84</v>
      </c>
      <c r="Q24" s="20">
        <f>Q22+Q23</f>
        <v>49000</v>
      </c>
      <c r="R24" s="20">
        <f>SUM(R22:R23)</f>
        <v>56000</v>
      </c>
      <c r="S24" s="20">
        <f>SUM(S22:S23)</f>
        <v>64000</v>
      </c>
      <c r="T24" s="20">
        <f t="shared" ref="T24" si="10">SUM(T22:T23)</f>
        <v>73000</v>
      </c>
    </row>
    <row r="25" spans="2:20" ht="14.25" customHeight="1" thickTop="1" thickBot="1" x14ac:dyDescent="0.35">
      <c r="B25" s="16" t="s">
        <v>41</v>
      </c>
      <c r="C25" s="17">
        <v>-2000</v>
      </c>
      <c r="D25" s="17">
        <v>-2000</v>
      </c>
      <c r="E25" s="17">
        <v>-2000</v>
      </c>
      <c r="I25" s="19" t="s">
        <v>81</v>
      </c>
      <c r="J25" s="20">
        <f>SUM(J21:J24)</f>
        <v>-4000</v>
      </c>
      <c r="K25" s="20">
        <f>SUM(K21:K24)</f>
        <v>-6000</v>
      </c>
      <c r="L25" s="20">
        <f>SUM(L21:L24)</f>
        <v>-5000</v>
      </c>
    </row>
    <row r="26" spans="2:20" ht="14.25" customHeight="1" thickTop="1" thickBot="1" x14ac:dyDescent="0.35">
      <c r="B26" s="19" t="s">
        <v>83</v>
      </c>
      <c r="C26" s="20">
        <f>SUM(C24:C25)</f>
        <v>-3000</v>
      </c>
      <c r="D26" s="20">
        <f>SUM(D24:D25)</f>
        <v>-3000</v>
      </c>
      <c r="E26" s="20">
        <f>SUM(E24:E25)</f>
        <v>-3000</v>
      </c>
      <c r="P26" s="19" t="s">
        <v>86</v>
      </c>
      <c r="Q26" s="20">
        <f>Q24+Q19</f>
        <v>78000</v>
      </c>
      <c r="R26" s="20">
        <f>R19+R24</f>
        <v>84000</v>
      </c>
      <c r="S26" s="20">
        <f>S19+S24</f>
        <v>90000</v>
      </c>
      <c r="T26" s="20">
        <f t="shared" ref="T26" si="11">T19+T24</f>
        <v>98000</v>
      </c>
    </row>
    <row r="27" spans="2:20" ht="14.25" customHeight="1" thickTop="1" x14ac:dyDescent="0.3">
      <c r="I27" s="22" t="s">
        <v>85</v>
      </c>
      <c r="J27" s="23"/>
      <c r="K27" s="23"/>
      <c r="L27" s="23"/>
    </row>
    <row r="28" spans="2:20" ht="15" thickBot="1" x14ac:dyDescent="0.35">
      <c r="B28" s="19" t="s">
        <v>87</v>
      </c>
      <c r="C28" s="20">
        <f>C21+C26</f>
        <v>7000</v>
      </c>
      <c r="D28" s="20">
        <f>D21+D26</f>
        <v>9000</v>
      </c>
      <c r="E28" s="20">
        <f>E21+E26</f>
        <v>10000</v>
      </c>
      <c r="I28" s="16" t="s">
        <v>88</v>
      </c>
      <c r="J28" s="32">
        <f>Q8</f>
        <v>5000</v>
      </c>
      <c r="K28" s="32">
        <f>R8</f>
        <v>11000</v>
      </c>
      <c r="L28" s="32">
        <f>S8</f>
        <v>17000</v>
      </c>
      <c r="P28" s="16" t="s">
        <v>91</v>
      </c>
      <c r="Q28" s="21">
        <f>Q12-Q26</f>
        <v>0</v>
      </c>
      <c r="R28" s="21">
        <f>R12-R26</f>
        <v>0</v>
      </c>
      <c r="S28" s="21">
        <f>S12-S26</f>
        <v>0</v>
      </c>
      <c r="T28" s="21">
        <f t="shared" ref="T28" si="12">T12-T26</f>
        <v>0</v>
      </c>
    </row>
    <row r="29" spans="2:20" ht="14.25" customHeight="1" thickTop="1" x14ac:dyDescent="0.3">
      <c r="I29" s="16" t="s">
        <v>89</v>
      </c>
      <c r="J29" s="32">
        <f>J14+J18+J25</f>
        <v>6000</v>
      </c>
      <c r="K29" s="32">
        <f>K14+K18+K25</f>
        <v>6000</v>
      </c>
      <c r="L29" s="32">
        <f>L14+L18+L25</f>
        <v>8000</v>
      </c>
    </row>
    <row r="30" spans="2:20" ht="14.25" customHeight="1" thickBot="1" x14ac:dyDescent="0.35">
      <c r="I30" s="19" t="s">
        <v>90</v>
      </c>
      <c r="J30" s="29">
        <f>SUM(J28:J29)</f>
        <v>11000</v>
      </c>
      <c r="K30" s="20">
        <f>SUM(K28:K29)</f>
        <v>17000</v>
      </c>
      <c r="L30" s="20">
        <f>SUM(L28:L29)</f>
        <v>25000</v>
      </c>
    </row>
    <row r="31" spans="2:20" ht="14.25" customHeight="1" thickTop="1" x14ac:dyDescent="0.3"/>
    <row r="32" spans="2:2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</sheetData>
  <mergeCells count="3">
    <mergeCell ref="B3:E3"/>
    <mergeCell ref="I3:L3"/>
    <mergeCell ref="P3:T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ahmed elsheshtawy</cp:lastModifiedBy>
  <cp:revision>0</cp:revision>
  <dcterms:created xsi:type="dcterms:W3CDTF">2026-06-28T17:49:07Z</dcterms:created>
  <dcterms:modified xsi:type="dcterms:W3CDTF">2026-08-23T05:44:56Z</dcterms:modified>
  <dc:language>en-US</dc:language>
</cp:coreProperties>
</file>